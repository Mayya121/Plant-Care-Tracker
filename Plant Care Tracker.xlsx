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lia\OneDrive\المستندات\"/>
    </mc:Choice>
  </mc:AlternateContent>
  <xr:revisionPtr revIDLastSave="0" documentId="8_{5E5BEA4C-2256-4C43-8242-76FBF9756F9C}" xr6:coauthVersionLast="47" xr6:coauthVersionMax="47" xr10:uidLastSave="{00000000-0000-0000-0000-000000000000}"/>
  <bookViews>
    <workbookView xWindow="-98" yWindow="-98" windowWidth="16395" windowHeight="10276" xr2:uid="{A0EE7A34-0BA8-4A4C-AD1C-0B6D0C47F5D2}"/>
  </bookViews>
  <sheets>
    <sheet name="Sheet1" sheetId="1" r:id="rId1"/>
  </sheets>
  <definedNames>
    <definedName name="OpenSolver_ChosenSolver" localSheetId="0" hidden="1">CBC</definedName>
    <definedName name="OpenSolver_DualsNewSheet" localSheetId="0" hidden="1">0</definedName>
    <definedName name="OpenSolver_LinearityCheck" localSheetId="0" hidden="1">1</definedName>
    <definedName name="OpenSolver_UpdateSensitivity" localSheetId="0" hidden="1">1</definedName>
    <definedName name="OpenSolverModelParameters" localSheetId="0" hidden="1">Sheet1!$G$17</definedName>
    <definedName name="solver_adj" localSheetId="0" hidden="1">Sheet1!$B$2:$C$4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Sheet1!$B$16:$B$18</definedName>
    <definedName name="solver_lhs2" localSheetId="0" hidden="1">Sheet1!$B$7:$B$8</definedName>
    <definedName name="solver_lhs3" localSheetId="0" hidden="1">Sheet1!$B$2:$C$4</definedName>
    <definedName name="solver_lhs4" localSheetId="0" hidden="1">Sheet1!$E$11:$E$13</definedName>
    <definedName name="solver_lhs5" localSheetId="0" hidden="1">Sheet1!$D$2:$D$4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5</definedName>
    <definedName name="solver_nwt" localSheetId="0" hidden="1">1</definedName>
    <definedName name="solver_opt" localSheetId="0" hidden="1">Sheet1!$C$28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el3" localSheetId="0" hidden="1">5</definedName>
    <definedName name="solver_rel4" localSheetId="0" hidden="1">1</definedName>
    <definedName name="solver_rel5" localSheetId="0" hidden="1">2</definedName>
    <definedName name="solver_rhs1" localSheetId="0" hidden="1">Sheet1!$C$16:$C$18</definedName>
    <definedName name="solver_rhs2" localSheetId="0" hidden="1">Sheet1!$C$7:$C$8</definedName>
    <definedName name="solver_rhs3" localSheetId="0" hidden="1">"binary"</definedName>
    <definedName name="solver_rhs4" localSheetId="0" hidden="1">Sheet1!$F$11:$F$13</definedName>
    <definedName name="solver_rhs5" localSheetId="0" hidden="1">1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0.05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12" i="1"/>
  <c r="B7" i="1"/>
  <c r="C26" i="1" l="1"/>
  <c r="C27" i="1"/>
  <c r="D2" i="1"/>
  <c r="E13" i="1"/>
  <c r="B18" i="1"/>
  <c r="B16" i="1"/>
  <c r="B17" i="1"/>
  <c r="B8" i="1"/>
  <c r="D4" i="1"/>
  <c r="D3" i="1"/>
  <c r="C28" i="1" l="1"/>
</calcChain>
</file>

<file path=xl/sharedStrings.xml><?xml version="1.0" encoding="utf-8"?>
<sst xmlns="http://schemas.openxmlformats.org/spreadsheetml/2006/main" count="43" uniqueCount="26">
  <si>
    <t>Plant/Locatione</t>
  </si>
  <si>
    <t>L1</t>
  </si>
  <si>
    <t>L2</t>
  </si>
  <si>
    <t>Row Sum</t>
  </si>
  <si>
    <t>P1</t>
  </si>
  <si>
    <t>P2</t>
  </si>
  <si>
    <t>P3</t>
  </si>
  <si>
    <t>Location</t>
  </si>
  <si>
    <t>Used</t>
  </si>
  <si>
    <t>Suitability</t>
  </si>
  <si>
    <t>Plant/Day</t>
  </si>
  <si>
    <t>D1</t>
  </si>
  <si>
    <t>D2</t>
  </si>
  <si>
    <t>D3</t>
  </si>
  <si>
    <t>Scheduled</t>
  </si>
  <si>
    <t>Required</t>
  </si>
  <si>
    <t>Capacity</t>
  </si>
  <si>
    <t>Day</t>
  </si>
  <si>
    <t>Tasks</t>
  </si>
  <si>
    <t>Max Daily</t>
  </si>
  <si>
    <t>Plant</t>
  </si>
  <si>
    <t>Priority</t>
  </si>
  <si>
    <t>Placement Objective</t>
  </si>
  <si>
    <t>Scheduling Objective</t>
  </si>
  <si>
    <t>Total Objective</t>
  </si>
  <si>
    <t>Objective Function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</si>
</sst>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/>
      <bottom/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theme="0" tint="-4.9989318521683403E-2"/>
      </right>
      <top style="thin">
        <color theme="0" tint="-4.9989318521683403E-2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3" borderId="1" xfId="0" applyFill="1" applyBorder="1"/>
    <xf numFmtId="0" fontId="0" fillId="0" borderId="1" xfId="0" applyBorder="1"/>
    <xf numFmtId="0" fontId="0" fillId="2" borderId="1" xfId="0" applyFill="1" applyBorder="1"/>
    <xf numFmtId="0" fontId="0" fillId="4" borderId="1" xfId="0" applyFill="1" applyBorder="1"/>
    <xf numFmtId="0" fontId="0" fillId="4" borderId="0" xfId="0" applyFill="1"/>
    <xf numFmtId="0" fontId="0" fillId="4" borderId="2" xfId="0" applyFill="1" applyBorder="1"/>
    <xf numFmtId="0" fontId="0" fillId="3" borderId="2" xfId="0" applyFill="1" applyBorder="1"/>
    <xf numFmtId="0" fontId="0" fillId="3" borderId="3" xfId="0" applyFill="1" applyBorder="1"/>
    <xf numFmtId="0" fontId="0" fillId="4" borderId="3" xfId="0" applyFill="1" applyBorder="1"/>
    <xf numFmtId="0" fontId="0" fillId="3" borderId="0" xfId="0" applyFill="1"/>
    <xf numFmtId="0" fontId="0" fillId="0" borderId="4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5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0" fillId="0" borderId="17" xfId="0" applyBorder="1"/>
    <xf numFmtId="0" fontId="0" fillId="3" borderId="17" xfId="0" applyFill="1" applyBorder="1"/>
    <xf numFmtId="0" fontId="0" fillId="0" borderId="14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3" borderId="16" xfId="0" applyFill="1" applyBorder="1"/>
    <xf numFmtId="0" fontId="0" fillId="3" borderId="24" xfId="0" applyFill="1" applyBorder="1"/>
    <xf numFmtId="0" fontId="0" fillId="0" borderId="24" xfId="0" applyBorder="1"/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0</xdr:colOff>
      <xdr:row>4</xdr:row>
      <xdr:rowOff>0</xdr:rowOff>
    </xdr:to>
    <xdr:sp macro="" textlink="">
      <xdr:nvSpPr>
        <xdr:cNvPr id="134" name="OpenSolver1">
          <a:extLst>
            <a:ext uri="{FF2B5EF4-FFF2-40B4-BE49-F238E27FC236}">
              <a16:creationId xmlns:a16="http://schemas.microsoft.com/office/drawing/2014/main" id="{3322D3FE-740D-4A74-F8D9-564205ABF77A}"/>
            </a:ext>
          </a:extLst>
        </xdr:cNvPr>
        <xdr:cNvSpPr/>
      </xdr:nvSpPr>
      <xdr:spPr>
        <a:xfrm>
          <a:off x="11234089800" y="171450"/>
          <a:ext cx="1371600" cy="514350"/>
        </a:xfrm>
        <a:prstGeom prst="rect">
          <a:avLst/>
        </a:prstGeom>
        <a:solidFill>
          <a:srgbClr val="FF00FF">
            <a:alpha val="40000"/>
          </a:srgbClr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1" anchor="ctr"/>
        <a:lstStyle/>
        <a:p>
          <a:pPr algn="l" rtl="1"/>
          <a:endParaRPr lang="ar-SA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2</xdr:col>
      <xdr:colOff>0</xdr:colOff>
      <xdr:row>27</xdr:row>
      <xdr:rowOff>0</xdr:rowOff>
    </xdr:from>
    <xdr:to>
      <xdr:col>3</xdr:col>
      <xdr:colOff>0</xdr:colOff>
      <xdr:row>28</xdr:row>
      <xdr:rowOff>0</xdr:rowOff>
    </xdr:to>
    <xdr:sp macro="" textlink="">
      <xdr:nvSpPr>
        <xdr:cNvPr id="135" name="OpenSolver2">
          <a:extLst>
            <a:ext uri="{FF2B5EF4-FFF2-40B4-BE49-F238E27FC236}">
              <a16:creationId xmlns:a16="http://schemas.microsoft.com/office/drawing/2014/main" id="{FA7AB841-7769-3B2D-E3AD-70955C32B9CC}"/>
            </a:ext>
          </a:extLst>
        </xdr:cNvPr>
        <xdr:cNvSpPr/>
      </xdr:nvSpPr>
      <xdr:spPr>
        <a:xfrm>
          <a:off x="11234089800" y="4629150"/>
          <a:ext cx="685800" cy="17145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1" anchor="ctr"/>
        <a:lstStyle/>
        <a:p>
          <a:pPr algn="l" rtl="1"/>
          <a:endParaRPr lang="ar-SA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2</xdr:col>
      <xdr:colOff>432265</xdr:colOff>
      <xdr:row>26</xdr:row>
      <xdr:rowOff>88900</xdr:rowOff>
    </xdr:from>
    <xdr:to>
      <xdr:col>2</xdr:col>
      <xdr:colOff>673100</xdr:colOff>
      <xdr:row>27</xdr:row>
      <xdr:rowOff>44450</xdr:rowOff>
    </xdr:to>
    <xdr:sp macro="" textlink="">
      <xdr:nvSpPr>
        <xdr:cNvPr id="136" name="OpenSolver3">
          <a:extLst>
            <a:ext uri="{FF2B5EF4-FFF2-40B4-BE49-F238E27FC236}">
              <a16:creationId xmlns:a16="http://schemas.microsoft.com/office/drawing/2014/main" id="{526C3359-81CA-569E-AB71-238B1A2336B6}"/>
            </a:ext>
          </a:extLst>
        </xdr:cNvPr>
        <xdr:cNvSpPr/>
      </xdr:nvSpPr>
      <xdr:spPr>
        <a:xfrm>
          <a:off x="11234102500" y="4546600"/>
          <a:ext cx="240835" cy="1270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1" anchor="t">
          <a:noAutofit/>
        </a:bodyPr>
        <a:lstStyle/>
        <a:p>
          <a:pPr algn="l" rtl="1"/>
          <a:r>
            <a:rPr lang="en-US" sz="900">
              <a:solidFill>
                <a:srgbClr val="000000"/>
              </a:solidFill>
            </a:rPr>
            <a:t>max </a:t>
          </a:r>
          <a:endParaRPr lang="ar-SA" sz="900">
            <a:solidFill>
              <a:srgbClr val="000000"/>
            </a:solidFill>
          </a:endParaRPr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4</xdr:col>
      <xdr:colOff>0</xdr:colOff>
      <xdr:row>4</xdr:row>
      <xdr:rowOff>0</xdr:rowOff>
    </xdr:to>
    <xdr:sp macro="" textlink="">
      <xdr:nvSpPr>
        <xdr:cNvPr id="137" name="OpenSolverD2:D4">
          <a:extLst>
            <a:ext uri="{FF2B5EF4-FFF2-40B4-BE49-F238E27FC236}">
              <a16:creationId xmlns:a16="http://schemas.microsoft.com/office/drawing/2014/main" id="{6D776579-7EEC-2F4C-1525-B2C40454CD4F}"/>
            </a:ext>
          </a:extLst>
        </xdr:cNvPr>
        <xdr:cNvSpPr/>
      </xdr:nvSpPr>
      <xdr:spPr>
        <a:xfrm>
          <a:off x="11233404000" y="171450"/>
          <a:ext cx="685800" cy="51435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1" anchor="ctr"/>
        <a:lstStyle/>
        <a:p>
          <a:pPr algn="l" rtl="1"/>
          <a:r>
            <a:rPr lang="ar-SA" sz="1100" b="1">
              <a:solidFill>
                <a:srgbClr val="0000FF"/>
              </a:solidFill>
            </a:rPr>
            <a:t>1=</a:t>
          </a:r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5</xdr:col>
      <xdr:colOff>0</xdr:colOff>
      <xdr:row>13</xdr:row>
      <xdr:rowOff>0</xdr:rowOff>
    </xdr:to>
    <xdr:sp macro="" textlink="">
      <xdr:nvSpPr>
        <xdr:cNvPr id="138" name="OpenSolver5">
          <a:extLst>
            <a:ext uri="{FF2B5EF4-FFF2-40B4-BE49-F238E27FC236}">
              <a16:creationId xmlns:a16="http://schemas.microsoft.com/office/drawing/2014/main" id="{E57DA097-2059-6FAD-FE5B-8CF537EA19A3}"/>
            </a:ext>
          </a:extLst>
        </xdr:cNvPr>
        <xdr:cNvSpPr/>
      </xdr:nvSpPr>
      <xdr:spPr>
        <a:xfrm>
          <a:off x="11232718200" y="1714500"/>
          <a:ext cx="685800" cy="51435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1" anchor="ctr"/>
        <a:lstStyle/>
        <a:p>
          <a:pPr algn="l" rtl="1"/>
          <a:endParaRPr lang="ar-SA" sz="1100" b="1">
            <a:solidFill>
              <a:srgbClr val="008000"/>
            </a:solidFill>
          </a:endParaRPr>
        </a:p>
      </xdr:txBody>
    </xdr:sp>
    <xdr:clientData/>
  </xdr:twoCellAnchor>
  <xdr:twoCellAnchor>
    <xdr:from>
      <xdr:col>5</xdr:col>
      <xdr:colOff>0</xdr:colOff>
      <xdr:row>10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139" name="OpenSolver6">
          <a:extLst>
            <a:ext uri="{FF2B5EF4-FFF2-40B4-BE49-F238E27FC236}">
              <a16:creationId xmlns:a16="http://schemas.microsoft.com/office/drawing/2014/main" id="{E9C71F0F-167D-2E24-A8F1-E0CC1CEDC14F}"/>
            </a:ext>
          </a:extLst>
        </xdr:cNvPr>
        <xdr:cNvSpPr/>
      </xdr:nvSpPr>
      <xdr:spPr>
        <a:xfrm>
          <a:off x="11232032400" y="1714500"/>
          <a:ext cx="685800" cy="51435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1" anchor="ctr"/>
        <a:lstStyle/>
        <a:p>
          <a:pPr algn="l" rtl="1"/>
          <a:r>
            <a:rPr lang="ar-SA" sz="1100" b="1">
              <a:solidFill>
                <a:srgbClr val="008000"/>
              </a:solidFill>
            </a:rPr>
            <a:t>≤</a:t>
          </a:r>
        </a:p>
      </xdr:txBody>
    </xdr:sp>
    <xdr:clientData/>
  </xdr:twoCellAnchor>
  <xdr:twoCellAnchor>
    <xdr:from>
      <xdr:col>5</xdr:col>
      <xdr:colOff>0</xdr:colOff>
      <xdr:row>11</xdr:row>
      <xdr:rowOff>85725</xdr:rowOff>
    </xdr:from>
    <xdr:to>
      <xdr:col>5</xdr:col>
      <xdr:colOff>0</xdr:colOff>
      <xdr:row>11</xdr:row>
      <xdr:rowOff>85725</xdr:rowOff>
    </xdr:to>
    <xdr:cxnSp macro="">
      <xdr:nvCxnSpPr>
        <xdr:cNvPr id="140" name="OpenSolver7">
          <a:extLst>
            <a:ext uri="{FF2B5EF4-FFF2-40B4-BE49-F238E27FC236}">
              <a16:creationId xmlns:a16="http://schemas.microsoft.com/office/drawing/2014/main" id="{D7037541-D943-3236-997B-9B0809CC3300}"/>
            </a:ext>
          </a:extLst>
        </xdr:cNvPr>
        <xdr:cNvCxnSpPr>
          <a:stCxn id="138" idx="1"/>
          <a:endCxn id="139" idx="3"/>
        </xdr:cNvCxnSpPr>
      </xdr:nvCxnSpPr>
      <xdr:spPr>
        <a:xfrm>
          <a:off x="11232718200" y="1971675"/>
          <a:ext cx="0" cy="0"/>
        </a:xfrm>
        <a:prstGeom prst="straightConnector1">
          <a:avLst/>
        </a:prstGeom>
        <a:ln w="9525" cmpd="sng">
          <a:solidFill>
            <a:srgbClr val="008000"/>
          </a:solidFill>
          <a:prstDash val="solid"/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495300</xdr:colOff>
      <xdr:row>10</xdr:row>
      <xdr:rowOff>130175</xdr:rowOff>
    </xdr:from>
    <xdr:to>
      <xdr:col>5</xdr:col>
      <xdr:colOff>190500</xdr:colOff>
      <xdr:row>12</xdr:row>
      <xdr:rowOff>41275</xdr:rowOff>
    </xdr:to>
    <xdr:sp macro="" textlink="">
      <xdr:nvSpPr>
        <xdr:cNvPr id="141" name="OpenSolver8">
          <a:extLst>
            <a:ext uri="{FF2B5EF4-FFF2-40B4-BE49-F238E27FC236}">
              <a16:creationId xmlns:a16="http://schemas.microsoft.com/office/drawing/2014/main" id="{90229358-2455-CF59-9F90-0BC3CD9E1146}"/>
            </a:ext>
          </a:extLst>
        </xdr:cNvPr>
        <xdr:cNvSpPr/>
      </xdr:nvSpPr>
      <xdr:spPr>
        <a:xfrm>
          <a:off x="11232527700" y="1844675"/>
          <a:ext cx="381000" cy="254000"/>
        </a:xfrm>
        <a:prstGeom prst="rect">
          <a:avLst/>
        </a:prstGeom>
        <a:noFill/>
        <a:ln w="1905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SA" sz="1100"/>
        </a:p>
      </xdr:txBody>
    </xdr:sp>
    <xdr:clientData/>
  </xdr:twoCellAnchor>
  <xdr:twoCellAnchor>
    <xdr:from>
      <xdr:col>1</xdr:col>
      <xdr:colOff>0</xdr:colOff>
      <xdr:row>15</xdr:row>
      <xdr:rowOff>0</xdr:rowOff>
    </xdr:from>
    <xdr:to>
      <xdr:col>2</xdr:col>
      <xdr:colOff>0</xdr:colOff>
      <xdr:row>18</xdr:row>
      <xdr:rowOff>0</xdr:rowOff>
    </xdr:to>
    <xdr:sp macro="" textlink="">
      <xdr:nvSpPr>
        <xdr:cNvPr id="142" name="OpenSolver9">
          <a:extLst>
            <a:ext uri="{FF2B5EF4-FFF2-40B4-BE49-F238E27FC236}">
              <a16:creationId xmlns:a16="http://schemas.microsoft.com/office/drawing/2014/main" id="{283EF761-0BC2-23C8-D7AC-A35AC51327EA}"/>
            </a:ext>
          </a:extLst>
        </xdr:cNvPr>
        <xdr:cNvSpPr/>
      </xdr:nvSpPr>
      <xdr:spPr>
        <a:xfrm>
          <a:off x="11234775600" y="2571750"/>
          <a:ext cx="685800" cy="514350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1" anchor="ctr"/>
        <a:lstStyle/>
        <a:p>
          <a:pPr algn="l" rtl="1"/>
          <a:endParaRPr lang="ar-SA" sz="1100" b="1">
            <a:solidFill>
              <a:srgbClr val="9900CC"/>
            </a:solidFill>
          </a:endParaRPr>
        </a:p>
      </xdr:txBody>
    </xdr:sp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18</xdr:row>
      <xdr:rowOff>0</xdr:rowOff>
    </xdr:to>
    <xdr:sp macro="" textlink="">
      <xdr:nvSpPr>
        <xdr:cNvPr id="143" name="OpenSolver10">
          <a:extLst>
            <a:ext uri="{FF2B5EF4-FFF2-40B4-BE49-F238E27FC236}">
              <a16:creationId xmlns:a16="http://schemas.microsoft.com/office/drawing/2014/main" id="{00623C16-D139-188D-DC1F-4AE429792FDC}"/>
            </a:ext>
          </a:extLst>
        </xdr:cNvPr>
        <xdr:cNvSpPr/>
      </xdr:nvSpPr>
      <xdr:spPr>
        <a:xfrm>
          <a:off x="11234089800" y="2571750"/>
          <a:ext cx="685800" cy="514350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1" anchor="ctr"/>
        <a:lstStyle/>
        <a:p>
          <a:pPr algn="l" rtl="1"/>
          <a:r>
            <a:rPr lang="ar-SA" sz="1100" b="1">
              <a:solidFill>
                <a:srgbClr val="9900CC"/>
              </a:solidFill>
            </a:rPr>
            <a:t>≤</a:t>
          </a:r>
        </a:p>
      </xdr:txBody>
    </xdr:sp>
    <xdr:clientData/>
  </xdr:twoCellAnchor>
  <xdr:twoCellAnchor>
    <xdr:from>
      <xdr:col>2</xdr:col>
      <xdr:colOff>0</xdr:colOff>
      <xdr:row>16</xdr:row>
      <xdr:rowOff>85725</xdr:rowOff>
    </xdr:from>
    <xdr:to>
      <xdr:col>2</xdr:col>
      <xdr:colOff>0</xdr:colOff>
      <xdr:row>16</xdr:row>
      <xdr:rowOff>85725</xdr:rowOff>
    </xdr:to>
    <xdr:cxnSp macro="">
      <xdr:nvCxnSpPr>
        <xdr:cNvPr id="144" name="OpenSolver11">
          <a:extLst>
            <a:ext uri="{FF2B5EF4-FFF2-40B4-BE49-F238E27FC236}">
              <a16:creationId xmlns:a16="http://schemas.microsoft.com/office/drawing/2014/main" id="{803D8F25-6515-FF3F-6D6D-0446FB11AF69}"/>
            </a:ext>
          </a:extLst>
        </xdr:cNvPr>
        <xdr:cNvCxnSpPr>
          <a:stCxn id="142" idx="1"/>
          <a:endCxn id="143" idx="3"/>
        </xdr:cNvCxnSpPr>
      </xdr:nvCxnSpPr>
      <xdr:spPr>
        <a:xfrm>
          <a:off x="11234775600" y="2828925"/>
          <a:ext cx="0" cy="0"/>
        </a:xfrm>
        <a:prstGeom prst="straightConnector1">
          <a:avLst/>
        </a:prstGeom>
        <a:ln w="9525" cmpd="sng">
          <a:solidFill>
            <a:srgbClr val="9900CC"/>
          </a:solidFill>
          <a:prstDash val="solid"/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495300</xdr:colOff>
      <xdr:row>15</xdr:row>
      <xdr:rowOff>130175</xdr:rowOff>
    </xdr:from>
    <xdr:to>
      <xdr:col>2</xdr:col>
      <xdr:colOff>190500</xdr:colOff>
      <xdr:row>17</xdr:row>
      <xdr:rowOff>41275</xdr:rowOff>
    </xdr:to>
    <xdr:sp macro="" textlink="">
      <xdr:nvSpPr>
        <xdr:cNvPr id="145" name="OpenSolver12">
          <a:extLst>
            <a:ext uri="{FF2B5EF4-FFF2-40B4-BE49-F238E27FC236}">
              <a16:creationId xmlns:a16="http://schemas.microsoft.com/office/drawing/2014/main" id="{BC2137DC-4B1A-0BC0-6C58-3EF8BA636DB1}"/>
            </a:ext>
          </a:extLst>
        </xdr:cNvPr>
        <xdr:cNvSpPr/>
      </xdr:nvSpPr>
      <xdr:spPr>
        <a:xfrm>
          <a:off x="11234585100" y="2701925"/>
          <a:ext cx="381000" cy="254000"/>
        </a:xfrm>
        <a:prstGeom prst="rect">
          <a:avLst/>
        </a:prstGeom>
        <a:noFill/>
        <a:ln w="1905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SA" sz="1100"/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146" name="OpenSolver13">
          <a:extLst>
            <a:ext uri="{FF2B5EF4-FFF2-40B4-BE49-F238E27FC236}">
              <a16:creationId xmlns:a16="http://schemas.microsoft.com/office/drawing/2014/main" id="{F6362D50-F550-05EE-FB45-53A10A418137}"/>
            </a:ext>
          </a:extLst>
        </xdr:cNvPr>
        <xdr:cNvSpPr/>
      </xdr:nvSpPr>
      <xdr:spPr>
        <a:xfrm>
          <a:off x="11234775600" y="1028700"/>
          <a:ext cx="685800" cy="342900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1" anchor="ctr"/>
        <a:lstStyle/>
        <a:p>
          <a:pPr algn="l" rtl="1"/>
          <a:endParaRPr lang="ar-SA" sz="1100" b="1">
            <a:solidFill>
              <a:srgbClr val="800000"/>
            </a:solidFill>
          </a:endParaRPr>
        </a:p>
      </xdr:txBody>
    </xdr:sp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8</xdr:row>
      <xdr:rowOff>0</xdr:rowOff>
    </xdr:to>
    <xdr:sp macro="" textlink="">
      <xdr:nvSpPr>
        <xdr:cNvPr id="147" name="OpenSolver14">
          <a:extLst>
            <a:ext uri="{FF2B5EF4-FFF2-40B4-BE49-F238E27FC236}">
              <a16:creationId xmlns:a16="http://schemas.microsoft.com/office/drawing/2014/main" id="{FF4AAEBC-6BC0-140A-CC5D-12DF1B4C128C}"/>
            </a:ext>
          </a:extLst>
        </xdr:cNvPr>
        <xdr:cNvSpPr/>
      </xdr:nvSpPr>
      <xdr:spPr>
        <a:xfrm>
          <a:off x="11234089800" y="1028700"/>
          <a:ext cx="685800" cy="342900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1" anchor="ctr"/>
        <a:lstStyle/>
        <a:p>
          <a:pPr algn="l" rtl="1"/>
          <a:r>
            <a:rPr lang="ar-SA" sz="1100" b="1">
              <a:solidFill>
                <a:srgbClr val="800000"/>
              </a:solidFill>
            </a:rPr>
            <a:t>≤</a:t>
          </a:r>
        </a:p>
      </xdr:txBody>
    </xdr:sp>
    <xdr:clientData/>
  </xdr:twoCellAnchor>
  <xdr:twoCellAnchor>
    <xdr:from>
      <xdr:col>2</xdr:col>
      <xdr:colOff>0</xdr:colOff>
      <xdr:row>7</xdr:row>
      <xdr:rowOff>0</xdr:rowOff>
    </xdr:from>
    <xdr:to>
      <xdr:col>2</xdr:col>
      <xdr:colOff>0</xdr:colOff>
      <xdr:row>7</xdr:row>
      <xdr:rowOff>0</xdr:rowOff>
    </xdr:to>
    <xdr:cxnSp macro="">
      <xdr:nvCxnSpPr>
        <xdr:cNvPr id="148" name="OpenSolver15">
          <a:extLst>
            <a:ext uri="{FF2B5EF4-FFF2-40B4-BE49-F238E27FC236}">
              <a16:creationId xmlns:a16="http://schemas.microsoft.com/office/drawing/2014/main" id="{0B3D1D3B-B52C-8A42-61F9-FC9D9B9B711E}"/>
            </a:ext>
          </a:extLst>
        </xdr:cNvPr>
        <xdr:cNvCxnSpPr>
          <a:stCxn id="146" idx="1"/>
          <a:endCxn id="147" idx="3"/>
        </xdr:cNvCxnSpPr>
      </xdr:nvCxnSpPr>
      <xdr:spPr>
        <a:xfrm>
          <a:off x="11234775600" y="1200150"/>
          <a:ext cx="0" cy="0"/>
        </a:xfrm>
        <a:prstGeom prst="straightConnector1">
          <a:avLst/>
        </a:prstGeom>
        <a:ln w="9525" cmpd="sng">
          <a:solidFill>
            <a:srgbClr val="800000"/>
          </a:solidFill>
          <a:prstDash val="solid"/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495300</xdr:colOff>
      <xdr:row>6</xdr:row>
      <xdr:rowOff>44450</xdr:rowOff>
    </xdr:from>
    <xdr:to>
      <xdr:col>2</xdr:col>
      <xdr:colOff>190500</xdr:colOff>
      <xdr:row>7</xdr:row>
      <xdr:rowOff>127000</xdr:rowOff>
    </xdr:to>
    <xdr:sp macro="" textlink="">
      <xdr:nvSpPr>
        <xdr:cNvPr id="149" name="OpenSolver16">
          <a:extLst>
            <a:ext uri="{FF2B5EF4-FFF2-40B4-BE49-F238E27FC236}">
              <a16:creationId xmlns:a16="http://schemas.microsoft.com/office/drawing/2014/main" id="{723EFE8F-CEC8-6331-B1E8-F680ACF77774}"/>
            </a:ext>
          </a:extLst>
        </xdr:cNvPr>
        <xdr:cNvSpPr/>
      </xdr:nvSpPr>
      <xdr:spPr>
        <a:xfrm>
          <a:off x="11234585100" y="1073150"/>
          <a:ext cx="381000" cy="254000"/>
        </a:xfrm>
        <a:prstGeom prst="rect">
          <a:avLst/>
        </a:prstGeom>
        <a:noFill/>
        <a:ln w="1905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SA" sz="1100"/>
        </a:p>
      </xdr:txBody>
    </xdr:sp>
    <xdr:clientData/>
  </xdr:twoCellAnchor>
  <xdr:twoCellAnchor>
    <xdr:from>
      <xdr:col>1</xdr:col>
      <xdr:colOff>613541</xdr:colOff>
      <xdr:row>1</xdr:row>
      <xdr:rowOff>6350</xdr:rowOff>
    </xdr:from>
    <xdr:to>
      <xdr:col>2</xdr:col>
      <xdr:colOff>12700</xdr:colOff>
      <xdr:row>1</xdr:row>
      <xdr:rowOff>120650</xdr:rowOff>
    </xdr:to>
    <xdr:sp macro="" textlink="">
      <xdr:nvSpPr>
        <xdr:cNvPr id="150" name="OpenSolver17">
          <a:extLst>
            <a:ext uri="{FF2B5EF4-FFF2-40B4-BE49-F238E27FC236}">
              <a16:creationId xmlns:a16="http://schemas.microsoft.com/office/drawing/2014/main" id="{C3B048C5-F2BF-7D5A-18C9-8B86B9475546}"/>
            </a:ext>
          </a:extLst>
        </xdr:cNvPr>
        <xdr:cNvSpPr/>
      </xdr:nvSpPr>
      <xdr:spPr>
        <a:xfrm>
          <a:off x="11234762900" y="177800"/>
          <a:ext cx="84959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1" anchor="t">
          <a:noAutofit/>
        </a:bodyPr>
        <a:lstStyle/>
        <a:p>
          <a:pPr algn="l" rtl="1"/>
          <a:r>
            <a:rPr lang="en-US" sz="900">
              <a:solidFill>
                <a:srgbClr val="000000"/>
              </a:solidFill>
            </a:rPr>
            <a:t>b</a:t>
          </a:r>
          <a:endParaRPr lang="ar-SA" sz="900">
            <a:solidFill>
              <a:srgbClr val="000000"/>
            </a:solidFill>
          </a:endParaRPr>
        </a:p>
      </xdr:txBody>
    </xdr:sp>
    <xdr:clientData/>
  </xdr:twoCellAnchor>
  <xdr:twoCellAnchor>
    <xdr:from>
      <xdr:col>2</xdr:col>
      <xdr:colOff>613541</xdr:colOff>
      <xdr:row>1</xdr:row>
      <xdr:rowOff>6350</xdr:rowOff>
    </xdr:from>
    <xdr:to>
      <xdr:col>3</xdr:col>
      <xdr:colOff>12700</xdr:colOff>
      <xdr:row>1</xdr:row>
      <xdr:rowOff>120650</xdr:rowOff>
    </xdr:to>
    <xdr:sp macro="" textlink="">
      <xdr:nvSpPr>
        <xdr:cNvPr id="151" name="OpenSolver18">
          <a:extLst>
            <a:ext uri="{FF2B5EF4-FFF2-40B4-BE49-F238E27FC236}">
              <a16:creationId xmlns:a16="http://schemas.microsoft.com/office/drawing/2014/main" id="{6C36F580-A7E4-4406-C548-38404B1F2A5D}"/>
            </a:ext>
          </a:extLst>
        </xdr:cNvPr>
        <xdr:cNvSpPr/>
      </xdr:nvSpPr>
      <xdr:spPr>
        <a:xfrm>
          <a:off x="11234077100" y="177800"/>
          <a:ext cx="84959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1" anchor="t">
          <a:noAutofit/>
        </a:bodyPr>
        <a:lstStyle/>
        <a:p>
          <a:pPr algn="l" rtl="1"/>
          <a:r>
            <a:rPr lang="en-US" sz="900">
              <a:solidFill>
                <a:srgbClr val="000000"/>
              </a:solidFill>
            </a:rPr>
            <a:t>b</a:t>
          </a:r>
          <a:endParaRPr lang="ar-SA" sz="900">
            <a:solidFill>
              <a:srgbClr val="000000"/>
            </a:solidFill>
          </a:endParaRPr>
        </a:p>
      </xdr:txBody>
    </xdr:sp>
    <xdr:clientData/>
  </xdr:twoCellAnchor>
  <xdr:twoCellAnchor>
    <xdr:from>
      <xdr:col>1</xdr:col>
      <xdr:colOff>613541</xdr:colOff>
      <xdr:row>2</xdr:row>
      <xdr:rowOff>12700</xdr:rowOff>
    </xdr:from>
    <xdr:to>
      <xdr:col>2</xdr:col>
      <xdr:colOff>12700</xdr:colOff>
      <xdr:row>2</xdr:row>
      <xdr:rowOff>127000</xdr:rowOff>
    </xdr:to>
    <xdr:sp macro="" textlink="">
      <xdr:nvSpPr>
        <xdr:cNvPr id="152" name="OpenSolver19">
          <a:extLst>
            <a:ext uri="{FF2B5EF4-FFF2-40B4-BE49-F238E27FC236}">
              <a16:creationId xmlns:a16="http://schemas.microsoft.com/office/drawing/2014/main" id="{4316110E-49F4-9D32-EC8A-7F321A2BB5A0}"/>
            </a:ext>
          </a:extLst>
        </xdr:cNvPr>
        <xdr:cNvSpPr/>
      </xdr:nvSpPr>
      <xdr:spPr>
        <a:xfrm>
          <a:off x="11234762900" y="355600"/>
          <a:ext cx="84959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1" anchor="t">
          <a:noAutofit/>
        </a:bodyPr>
        <a:lstStyle/>
        <a:p>
          <a:pPr algn="l" rtl="1"/>
          <a:r>
            <a:rPr lang="en-US" sz="900">
              <a:solidFill>
                <a:srgbClr val="000000"/>
              </a:solidFill>
            </a:rPr>
            <a:t>b</a:t>
          </a:r>
          <a:endParaRPr lang="ar-SA" sz="900">
            <a:solidFill>
              <a:srgbClr val="000000"/>
            </a:solidFill>
          </a:endParaRPr>
        </a:p>
      </xdr:txBody>
    </xdr:sp>
    <xdr:clientData/>
  </xdr:twoCellAnchor>
  <xdr:twoCellAnchor>
    <xdr:from>
      <xdr:col>2</xdr:col>
      <xdr:colOff>613541</xdr:colOff>
      <xdr:row>2</xdr:row>
      <xdr:rowOff>12700</xdr:rowOff>
    </xdr:from>
    <xdr:to>
      <xdr:col>3</xdr:col>
      <xdr:colOff>12700</xdr:colOff>
      <xdr:row>2</xdr:row>
      <xdr:rowOff>127000</xdr:rowOff>
    </xdr:to>
    <xdr:sp macro="" textlink="">
      <xdr:nvSpPr>
        <xdr:cNvPr id="153" name="OpenSolver20">
          <a:extLst>
            <a:ext uri="{FF2B5EF4-FFF2-40B4-BE49-F238E27FC236}">
              <a16:creationId xmlns:a16="http://schemas.microsoft.com/office/drawing/2014/main" id="{31D20B22-DDAE-E525-9AD0-E2965350B5AE}"/>
            </a:ext>
          </a:extLst>
        </xdr:cNvPr>
        <xdr:cNvSpPr/>
      </xdr:nvSpPr>
      <xdr:spPr>
        <a:xfrm>
          <a:off x="11234077100" y="355600"/>
          <a:ext cx="84959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1" anchor="t">
          <a:noAutofit/>
        </a:bodyPr>
        <a:lstStyle/>
        <a:p>
          <a:pPr algn="l" rtl="1"/>
          <a:r>
            <a:rPr lang="en-US" sz="900">
              <a:solidFill>
                <a:srgbClr val="000000"/>
              </a:solidFill>
            </a:rPr>
            <a:t>b</a:t>
          </a:r>
          <a:endParaRPr lang="ar-SA" sz="900">
            <a:solidFill>
              <a:srgbClr val="000000"/>
            </a:solidFill>
          </a:endParaRPr>
        </a:p>
      </xdr:txBody>
    </xdr:sp>
    <xdr:clientData/>
  </xdr:twoCellAnchor>
  <xdr:twoCellAnchor>
    <xdr:from>
      <xdr:col>1</xdr:col>
      <xdr:colOff>613541</xdr:colOff>
      <xdr:row>3</xdr:row>
      <xdr:rowOff>19050</xdr:rowOff>
    </xdr:from>
    <xdr:to>
      <xdr:col>2</xdr:col>
      <xdr:colOff>12700</xdr:colOff>
      <xdr:row>3</xdr:row>
      <xdr:rowOff>133350</xdr:rowOff>
    </xdr:to>
    <xdr:sp macro="" textlink="">
      <xdr:nvSpPr>
        <xdr:cNvPr id="154" name="OpenSolver21">
          <a:extLst>
            <a:ext uri="{FF2B5EF4-FFF2-40B4-BE49-F238E27FC236}">
              <a16:creationId xmlns:a16="http://schemas.microsoft.com/office/drawing/2014/main" id="{F6F13A0B-DF6B-60AD-E052-EA5810E4049F}"/>
            </a:ext>
          </a:extLst>
        </xdr:cNvPr>
        <xdr:cNvSpPr/>
      </xdr:nvSpPr>
      <xdr:spPr>
        <a:xfrm>
          <a:off x="11234762900" y="533400"/>
          <a:ext cx="84959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1" anchor="t">
          <a:noAutofit/>
        </a:bodyPr>
        <a:lstStyle/>
        <a:p>
          <a:pPr algn="l" rtl="1"/>
          <a:r>
            <a:rPr lang="en-US" sz="900">
              <a:solidFill>
                <a:srgbClr val="000000"/>
              </a:solidFill>
            </a:rPr>
            <a:t>b</a:t>
          </a:r>
          <a:endParaRPr lang="ar-SA" sz="900">
            <a:solidFill>
              <a:srgbClr val="000000"/>
            </a:solidFill>
          </a:endParaRPr>
        </a:p>
      </xdr:txBody>
    </xdr:sp>
    <xdr:clientData/>
  </xdr:twoCellAnchor>
  <xdr:twoCellAnchor>
    <xdr:from>
      <xdr:col>2</xdr:col>
      <xdr:colOff>613541</xdr:colOff>
      <xdr:row>3</xdr:row>
      <xdr:rowOff>19050</xdr:rowOff>
    </xdr:from>
    <xdr:to>
      <xdr:col>3</xdr:col>
      <xdr:colOff>12700</xdr:colOff>
      <xdr:row>3</xdr:row>
      <xdr:rowOff>133350</xdr:rowOff>
    </xdr:to>
    <xdr:sp macro="" textlink="">
      <xdr:nvSpPr>
        <xdr:cNvPr id="155" name="OpenSolver22">
          <a:extLst>
            <a:ext uri="{FF2B5EF4-FFF2-40B4-BE49-F238E27FC236}">
              <a16:creationId xmlns:a16="http://schemas.microsoft.com/office/drawing/2014/main" id="{29CE3CE9-6572-8D23-6308-56E8A878D0DA}"/>
            </a:ext>
          </a:extLst>
        </xdr:cNvPr>
        <xdr:cNvSpPr/>
      </xdr:nvSpPr>
      <xdr:spPr>
        <a:xfrm>
          <a:off x="11234077100" y="533400"/>
          <a:ext cx="84959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1" anchor="t">
          <a:noAutofit/>
        </a:bodyPr>
        <a:lstStyle/>
        <a:p>
          <a:pPr algn="l" rtl="1"/>
          <a:r>
            <a:rPr lang="en-US" sz="900">
              <a:solidFill>
                <a:srgbClr val="000000"/>
              </a:solidFill>
            </a:rPr>
            <a:t>b</a:t>
          </a:r>
          <a:endParaRPr lang="ar-SA" sz="900">
            <a:solidFill>
              <a:srgbClr val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4AFF8-529C-422C-A8EF-5FAB60657C82}">
  <dimension ref="A1:J28"/>
  <sheetViews>
    <sheetView rightToLeft="1" tabSelected="1" zoomScale="80" workbookViewId="0">
      <selection activeCell="E11" sqref="E11"/>
    </sheetView>
  </sheetViews>
  <sheetFormatPr defaultRowHeight="13.5" x14ac:dyDescent="0.35"/>
  <sheetData>
    <row r="1" spans="1:10" x14ac:dyDescent="0.35">
      <c r="A1" s="4" t="s">
        <v>0</v>
      </c>
      <c r="B1" s="4" t="s">
        <v>1</v>
      </c>
      <c r="C1" s="4" t="s">
        <v>2</v>
      </c>
      <c r="D1" s="6" t="s">
        <v>3</v>
      </c>
      <c r="E1" s="23"/>
      <c r="F1" s="5"/>
      <c r="G1" s="9" t="s">
        <v>0</v>
      </c>
      <c r="H1" s="4" t="s">
        <v>1</v>
      </c>
      <c r="I1" s="4" t="s">
        <v>2</v>
      </c>
      <c r="J1" s="5" t="s">
        <v>9</v>
      </c>
    </row>
    <row r="2" spans="1:10" x14ac:dyDescent="0.35">
      <c r="A2" s="1" t="s">
        <v>4</v>
      </c>
      <c r="B2" s="1">
        <v>1</v>
      </c>
      <c r="C2" s="1">
        <v>0</v>
      </c>
      <c r="D2" s="7">
        <f>SUM(B2:C2)</f>
        <v>1</v>
      </c>
      <c r="E2" s="24"/>
      <c r="F2" s="8"/>
      <c r="G2" s="8" t="s">
        <v>4</v>
      </c>
      <c r="H2" s="1">
        <v>8</v>
      </c>
      <c r="I2" s="1">
        <v>5</v>
      </c>
    </row>
    <row r="3" spans="1:10" x14ac:dyDescent="0.35">
      <c r="A3" s="1" t="s">
        <v>5</v>
      </c>
      <c r="B3" s="1">
        <v>0</v>
      </c>
      <c r="C3" s="1">
        <v>1</v>
      </c>
      <c r="D3" s="7">
        <f>SUM(B3:C3)</f>
        <v>1</v>
      </c>
      <c r="E3" s="24"/>
      <c r="F3" s="8"/>
      <c r="G3" s="8" t="s">
        <v>5</v>
      </c>
      <c r="H3" s="1">
        <v>6</v>
      </c>
      <c r="I3" s="1">
        <v>9</v>
      </c>
    </row>
    <row r="4" spans="1:10" x14ac:dyDescent="0.35">
      <c r="A4" s="1" t="s">
        <v>6</v>
      </c>
      <c r="B4" s="1">
        <v>1</v>
      </c>
      <c r="C4" s="1">
        <v>0</v>
      </c>
      <c r="D4" s="7">
        <f>SUM(B4:C4)</f>
        <v>1</v>
      </c>
      <c r="E4" s="24"/>
      <c r="F4" s="8"/>
      <c r="G4" s="8" t="s">
        <v>6</v>
      </c>
      <c r="H4" s="1">
        <v>7</v>
      </c>
      <c r="I4" s="1">
        <v>4</v>
      </c>
    </row>
    <row r="5" spans="1:10" x14ac:dyDescent="0.35">
      <c r="A5" s="1"/>
      <c r="B5" s="1"/>
      <c r="C5" s="1"/>
      <c r="D5" s="7"/>
      <c r="E5" s="24"/>
      <c r="F5" s="8"/>
      <c r="G5" s="1"/>
      <c r="H5" s="1"/>
      <c r="I5" s="1"/>
      <c r="J5" s="22"/>
    </row>
    <row r="6" spans="1:10" x14ac:dyDescent="0.35">
      <c r="A6" s="4" t="s">
        <v>7</v>
      </c>
      <c r="B6" s="4" t="s">
        <v>8</v>
      </c>
      <c r="C6" s="4" t="s">
        <v>16</v>
      </c>
      <c r="E6" s="23"/>
    </row>
    <row r="7" spans="1:10" x14ac:dyDescent="0.35">
      <c r="A7" s="1" t="s">
        <v>1</v>
      </c>
      <c r="B7" s="1">
        <f>SUM(B2)</f>
        <v>1</v>
      </c>
      <c r="C7" s="1">
        <v>2</v>
      </c>
      <c r="E7" s="23"/>
    </row>
    <row r="8" spans="1:10" x14ac:dyDescent="0.35">
      <c r="A8" s="1" t="s">
        <v>2</v>
      </c>
      <c r="B8" s="1">
        <f>SUM(C2:C4)</f>
        <v>1</v>
      </c>
      <c r="C8" s="1">
        <v>2</v>
      </c>
      <c r="E8" s="23"/>
    </row>
    <row r="9" spans="1:10" x14ac:dyDescent="0.35">
      <c r="G9" s="16"/>
      <c r="H9" s="17"/>
      <c r="I9" s="17"/>
      <c r="J9" s="15"/>
    </row>
    <row r="10" spans="1:10" x14ac:dyDescent="0.35">
      <c r="A10" s="4" t="s">
        <v>10</v>
      </c>
      <c r="B10" s="4" t="s">
        <v>11</v>
      </c>
      <c r="C10" s="4" t="s">
        <v>12</v>
      </c>
      <c r="D10" s="4" t="s">
        <v>13</v>
      </c>
      <c r="E10" s="4" t="s">
        <v>14</v>
      </c>
      <c r="F10" s="6" t="s">
        <v>15</v>
      </c>
      <c r="G10" s="18"/>
      <c r="H10" s="19"/>
      <c r="I10" s="19"/>
      <c r="J10" s="20"/>
    </row>
    <row r="11" spans="1:10" x14ac:dyDescent="0.35">
      <c r="A11" s="2" t="s">
        <v>4</v>
      </c>
      <c r="B11" s="2">
        <v>1</v>
      </c>
      <c r="C11" s="2">
        <v>1</v>
      </c>
      <c r="D11" s="2">
        <v>0</v>
      </c>
      <c r="E11" s="2">
        <f>SUM(B11)</f>
        <v>1</v>
      </c>
      <c r="F11" s="12">
        <v>3</v>
      </c>
      <c r="G11" s="18"/>
      <c r="H11" s="19"/>
      <c r="I11" s="19"/>
      <c r="J11" s="20"/>
    </row>
    <row r="12" spans="1:10" x14ac:dyDescent="0.35">
      <c r="A12" s="2" t="s">
        <v>5</v>
      </c>
      <c r="B12" s="2">
        <v>1</v>
      </c>
      <c r="C12" s="2">
        <v>1</v>
      </c>
      <c r="D12" s="2">
        <v>0</v>
      </c>
      <c r="E12" s="2">
        <f>SUM(B12)</f>
        <v>1</v>
      </c>
      <c r="F12" s="12">
        <v>3</v>
      </c>
      <c r="G12" s="18"/>
      <c r="H12" s="19"/>
      <c r="I12" s="19"/>
      <c r="J12" s="20"/>
    </row>
    <row r="13" spans="1:10" x14ac:dyDescent="0.35">
      <c r="A13" s="2" t="s">
        <v>6</v>
      </c>
      <c r="B13" s="2">
        <v>1</v>
      </c>
      <c r="C13" s="2">
        <v>0</v>
      </c>
      <c r="D13" s="2">
        <v>0</v>
      </c>
      <c r="E13" s="2">
        <f>SUM(B13:D13)</f>
        <v>1</v>
      </c>
      <c r="F13" s="12">
        <v>2</v>
      </c>
      <c r="G13" s="14"/>
      <c r="H13" s="21"/>
      <c r="I13" s="21"/>
      <c r="J13" s="13"/>
    </row>
    <row r="15" spans="1:10" x14ac:dyDescent="0.35">
      <c r="A15" s="4" t="s">
        <v>17</v>
      </c>
      <c r="B15" s="4" t="s">
        <v>18</v>
      </c>
      <c r="C15" s="4" t="s">
        <v>19</v>
      </c>
      <c r="D15" s="4"/>
    </row>
    <row r="16" spans="1:10" x14ac:dyDescent="0.35">
      <c r="A16" s="2" t="s">
        <v>11</v>
      </c>
      <c r="B16" s="2">
        <f>SUM(B11:B13)</f>
        <v>3</v>
      </c>
      <c r="C16" s="12">
        <v>3</v>
      </c>
      <c r="D16" s="2"/>
      <c r="E16" s="26"/>
      <c r="F16" s="27"/>
    </row>
    <row r="17" spans="1:6" x14ac:dyDescent="0.35">
      <c r="A17" s="2" t="s">
        <v>12</v>
      </c>
      <c r="B17" s="2">
        <f>SUM(C11:C13)</f>
        <v>2</v>
      </c>
      <c r="C17" s="12">
        <v>3</v>
      </c>
      <c r="D17" s="2"/>
      <c r="E17" s="23"/>
      <c r="F17" s="28"/>
    </row>
    <row r="18" spans="1:6" x14ac:dyDescent="0.35">
      <c r="A18" s="11" t="s">
        <v>13</v>
      </c>
      <c r="B18" s="11">
        <f>SUM(D11:D13)</f>
        <v>0</v>
      </c>
      <c r="C18" s="12">
        <v>3</v>
      </c>
      <c r="D18" s="11"/>
      <c r="E18" s="23"/>
      <c r="F18" s="28"/>
    </row>
    <row r="19" spans="1:6" x14ac:dyDescent="0.35">
      <c r="A19" s="10"/>
      <c r="B19" s="10"/>
      <c r="C19" s="32"/>
      <c r="D19" s="24"/>
      <c r="E19" s="23"/>
      <c r="F19" s="28"/>
    </row>
    <row r="20" spans="1:6" x14ac:dyDescent="0.35">
      <c r="A20" s="4" t="s">
        <v>20</v>
      </c>
      <c r="B20" s="6" t="s">
        <v>21</v>
      </c>
      <c r="C20" s="33"/>
      <c r="D20" s="24"/>
      <c r="E20" s="23"/>
      <c r="F20" s="29"/>
    </row>
    <row r="21" spans="1:6" x14ac:dyDescent="0.35">
      <c r="A21" s="2" t="s">
        <v>4</v>
      </c>
      <c r="B21" s="12">
        <v>2</v>
      </c>
      <c r="C21" s="33"/>
      <c r="D21" s="24"/>
      <c r="E21" s="23"/>
    </row>
    <row r="22" spans="1:6" x14ac:dyDescent="0.35">
      <c r="A22" s="2" t="s">
        <v>5</v>
      </c>
      <c r="B22" s="12">
        <v>3</v>
      </c>
      <c r="C22" s="33"/>
      <c r="D22" s="24"/>
      <c r="E22" s="23"/>
    </row>
    <row r="23" spans="1:6" x14ac:dyDescent="0.35">
      <c r="A23" s="2" t="s">
        <v>6</v>
      </c>
      <c r="B23" s="12">
        <v>1</v>
      </c>
      <c r="C23" s="34"/>
      <c r="D23" s="23"/>
      <c r="E23" s="23"/>
    </row>
    <row r="24" spans="1:6" x14ac:dyDescent="0.35">
      <c r="C24" s="25"/>
      <c r="D24" s="35"/>
      <c r="E24" s="23"/>
    </row>
    <row r="25" spans="1:6" x14ac:dyDescent="0.35">
      <c r="A25" s="3"/>
      <c r="B25" s="3"/>
      <c r="C25" s="3" t="s">
        <v>25</v>
      </c>
      <c r="E25" s="31"/>
    </row>
    <row r="26" spans="1:6" x14ac:dyDescent="0.35">
      <c r="A26" s="1"/>
      <c r="B26" s="1" t="s">
        <v>22</v>
      </c>
      <c r="C26" s="1">
        <f>SUMPRODUCT(B2:C4,H2:I4)</f>
        <v>24</v>
      </c>
      <c r="E26" s="31"/>
    </row>
    <row r="27" spans="1:6" x14ac:dyDescent="0.35">
      <c r="A27" s="1"/>
      <c r="B27" s="1" t="s">
        <v>23</v>
      </c>
      <c r="C27" s="1">
        <f>SUMPRODUCT(E11:E13,B21:B23)</f>
        <v>6</v>
      </c>
      <c r="E27" s="30"/>
    </row>
    <row r="28" spans="1:6" x14ac:dyDescent="0.35">
      <c r="A28" s="1"/>
      <c r="B28" s="1" t="s">
        <v>24</v>
      </c>
      <c r="C28" s="1">
        <f>C26+C27</f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dalia 2</dc:creator>
  <cp:lastModifiedBy>dalia 2</cp:lastModifiedBy>
  <dcterms:created xsi:type="dcterms:W3CDTF">2026-03-24T06:14:37Z</dcterms:created>
  <dcterms:modified xsi:type="dcterms:W3CDTF">2026-05-11T13:34:45Z</dcterms:modified>
</cp:coreProperties>
</file>